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e2691c464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43489687fb4abb"/>
    <x:sheet xmlns:r="http://schemas.openxmlformats.org/officeDocument/2006/relationships" name="Diesel Table" sheetId="2" r:id="Raf6e516d384644c3"/>
    <x:sheet xmlns:r="http://schemas.openxmlformats.org/officeDocument/2006/relationships" name="Extracted Notes" sheetId="3" r:id="R380d8eb6852a484a"/>
    <x:sheet xmlns:r="http://schemas.openxmlformats.org/officeDocument/2006/relationships" name="Checks" sheetId="4" r:id="R300725ca6d27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color rgb="FF1F2933"/>
      <x:name val="Aptos"/>
    </x:font>
    <x:font>
      <x:b/>
      <x:sz val="10"/>
      <x:color rgb="FF244A3D"/>
      <x:name val="Aptos"/>
    </x:font>
    <x:font>
      <x:b/>
      <x:sz val="10"/>
      <x:color rgb="FF1F2933"/>
      <x:name val="Aptos"/>
    </x:font>
    <x:font>
      <x:b/>
      <x:sz val="11"/>
      <x:color rgb="FF244A3D"/>
      <x:name val="Aptos"/>
    </x:font>
    <x:font>
      <x:b/>
      <x:sz val="10"/>
      <x:color rgb="FFFFFFFF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244A3D"/>
      </x:patternFill>
    </x:fill>
    <x:fill>
      <x:patternFill patternType="solid">
        <x:fgColor rgb="FFFFFFFF"/>
      </x:patternFill>
    </x:fill>
    <x:fill>
      <x:patternFill patternType="solid">
        <x:fgColor rgb="FFEAF1EC"/>
      </x:patternFill>
    </x:fill>
    <x:fill>
      <x:patternFill patternType="solid">
        <x:fgColor rgb="FFD8E9E0"/>
      </x:patternFill>
    </x:fill>
    <x:fill>
      <x:patternFill patternType="solid">
        <x:fgColor rgb="FFFFF3CD"/>
      </x:patternFill>
    </x:fill>
    <x:fill>
      <x:patternFill patternType="solid">
        <x:fgColor rgb="FFF4F7F5"/>
      </x:patternFill>
    </x:fill>
    <x:fill>
      <x:patternFill patternType="solid">
        <x:fgColor rgb="FF582C83"/>
      </x:patternFill>
    </x:fill>
    <x:fill>
      <x:patternFill patternType="solid">
        <x:fgColor rgb="FFE6DDF1"/>
      </x:patternFill>
    </x:fill>
    <x:fill>
      <x:patternFill patternType="solid">
        <x:fgColor rgb="FFFDECEC"/>
      </x:patternFill>
    </x:fill>
    <x:fill>
      <x:patternFill patternType="solid">
        <x:fgColor rgb="FFEEF7F2"/>
      </x:patternFill>
    </x:fill>
    <x:fill>
      <x:patternFill patternType="solid">
        <x:fgColor rgb="FF7A1F1F"/>
      </x:patternFill>
    </x:fill>
    <x:fill>
      <x:patternFill patternType="solid">
        <x:fgColor rgb="FFF4D7D7"/>
      </x:patternFill>
    </x:fill>
  </x:fills>
  <x:borders count="6"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B8C9C0"/>
      </x:left>
      <x:right style="thin">
        <x:color rgb="FFB8C9C0"/>
      </x:right>
      <x:top style="thin">
        <x:color rgb="FFB8C9C0"/>
      </x:top>
      <x:bottom style="thin">
        <x:color rgb="FFB8C9C0"/>
      </x:bottom>
    </x:border>
    <x:border>
      <x:left style="thin">
        <x:color rgb="FFB8C9C0"/>
      </x:left>
      <x:top style="thin">
        <x:color rgb="FFB8C9C0"/>
      </x:top>
      <x:bottom style="thin">
        <x:color rgb="FFB8C9C0"/>
      </x:bottom>
    </x:border>
    <x:border>
      <x:top style="thin">
        <x:color rgb="FFB8C9C0"/>
      </x:top>
      <x:bottom style="thin">
        <x:color rgb="FFB8C9C0"/>
      </x:bottom>
    </x:border>
    <x:border>
      <x:right style="thin">
        <x:color rgb="FFB8C9C0"/>
      </x:right>
      <x:top style="thin">
        <x:color rgb="FFB8C9C0"/>
      </x:top>
      <x:bottom style="thin">
        <x:color rgb="FFB8C9C0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200" fontId="2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3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vertical="center"/>
    </x:xf>
    <x:xf numFmtId="0" fontId="5" fillId="7" borderId="5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left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0" fontId="4" fillId="9" borderId="2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horizont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vertical="top" wrapText="1"/>
    </x:xf>
    <x:xf numFmtId="200" fontId="2" fillId="10" borderId="1" xfId="0" applyNumberFormat="1" applyFont="1" applyFill="1" applyBorder="1" applyAlignment="1">
      <x:alignment vertical="top" wrapText="1"/>
    </x:xf>
    <x:xf numFmtId="200" fontId="2" fillId="11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left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2" xfId="0" applyNumberFormat="1" applyFont="1" applyFill="1" applyBorder="1"/>
    <x:xf numFmtId="0" fontId="4" fillId="13" borderId="2" xfId="0" applyNumberFormat="1" applyFont="1" applyFill="1" applyBorder="1" applyAlignment="1">
      <x:alignment wrapText="1"/>
    </x:xf>
    <x:xf numFmtId="0" fontId="4" fillId="13" borderId="2" xfId="0" applyNumberFormat="1" applyFont="1" applyFill="1" applyBorder="1" applyAlignment="1">
      <x:alignment horizontal="center" wrapText="1"/>
    </x:xf>
    <x:xf numFmtId="0" fontId="4" fillId="1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7A1F1F"/>
      </x:font>
      <x:fill>
        <x:patternFill patternType="solid">
          <x:bgColor rgb="FFF8CBAD"/>
        </x:patternFill>
      </x:fill>
    </x:dxf>
    <x:dxf>
      <x:font>
        <x:b/>
        <x:color rgb="FF7A5A00"/>
      </x:font>
      <x:fill>
        <x:patternFill patternType="solid">
          <x:bgColor rgb="FFFFF3CD"/>
        </x:patternFill>
      </x:fill>
    </x:dxf>
    <x:dxf>
      <x:font>
        <x:b/>
        <x:color rgb="FF7A1F1F"/>
      </x:font>
      <x:fill>
        <x:patternFill patternType="solid">
          <x:bgColor rgb="FFF8CBAD"/>
        </x:patternFill>
      </x:fill>
    </x:dxf>
    <x:dxf>
      <x:font>
        <x:b/>
        <x:color rgb="FF7A5A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3df40d1a34adc" /><Relationship Type="http://schemas.openxmlformats.org/officeDocument/2006/relationships/theme" Target="/xl/theme/theme1.xml" Id="R7fa32740144a4e3e" /><Relationship Type="http://schemas.openxmlformats.org/officeDocument/2006/relationships/sharedStrings" Target="/xl/sharedStrings.xml" Id="R1ee30f704f9f44e6" /><Relationship Type="http://schemas.openxmlformats.org/officeDocument/2006/relationships/worksheet" Target="/xl/worksheets/sheet1.xml" Id="R5443489687fb4abb" /><Relationship Type="http://schemas.openxmlformats.org/officeDocument/2006/relationships/worksheet" Target="/xl/worksheets/sheet2.xml" Id="Raf6e516d384644c3" /><Relationship Type="http://schemas.openxmlformats.org/officeDocument/2006/relationships/worksheet" Target="/xl/worksheets/sheet3.xml" Id="R380d8eb6852a484a" /><Relationship Type="http://schemas.openxmlformats.org/officeDocument/2006/relationships/worksheet" Target="/xl/worksheets/sheet4.xml" Id="R300725ca6d2744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9fd65755244f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Jan-Apr Diesel Usage by Source (L)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Olympian 80kW</c:v>
          </c:tx>
          <c:cat>
            <c:strLit>
              <c:ptCount val="4"/>
              <c:pt idx="0">
                <c:v>Jan</c:v>
              </c:pt>
              <c:pt idx="1">
                <c:v>Feb</c:v>
              </c:pt>
              <c:pt idx="2">
                <c:v>Mac</c:v>
              </c:pt>
              <c:pt idx="3">
                <c:v>April</c:v>
              </c:pt>
            </c:strLit>
          </c:cat>
          <c:val>
            <c:numLit>
              <c:formatCode>General</c:formatCode>
              <c:ptCount val="4"/>
              <c:pt idx="0">
                <c:v>3538</c:v>
              </c:pt>
              <c:pt idx="1">
                <c:v>1900</c:v>
              </c:pt>
              <c:pt idx="2">
                <c:v>3300</c:v>
              </c:pt>
              <c:pt idx="3">
                <c:v>2784</c:v>
              </c:pt>
            </c:numLit>
          </c:val>
        </c:ser>
        <c:ser>
          <c:idx val="1"/>
          <c:order val="1"/>
          <c:tx>
            <c:v>Caterpillar 120kW</c:v>
          </c:tx>
          <c:cat>
            <c:strLit>
              <c:ptCount val="4"/>
              <c:pt idx="0">
                <c:v>Jan</c:v>
              </c:pt>
              <c:pt idx="1">
                <c:v>Feb</c:v>
              </c:pt>
              <c:pt idx="2">
                <c:v>Mac</c:v>
              </c:pt>
              <c:pt idx="3">
                <c:v>April</c:v>
              </c:pt>
            </c:strLit>
          </c:cat>
          <c:val>
            <c:numLit>
              <c:formatCode>General</c:formatCode>
              <c:ptCount val="4"/>
              <c:pt idx="0">
                <c:v>3600</c:v>
              </c:pt>
              <c:pt idx="1">
                <c:v>1900</c:v>
              </c:pt>
              <c:pt idx="2">
                <c:v>1900</c:v>
              </c:pt>
              <c:pt idx="3">
                <c:v>2340</c:v>
              </c:pt>
            </c:numLit>
          </c:val>
        </c:ser>
        <c:ser>
          <c:idx val="2"/>
          <c:order val="2"/>
          <c:tx>
            <c:v>Printed total</c:v>
          </c:tx>
          <c:cat>
            <c:strLit>
              <c:ptCount val="4"/>
              <c:pt idx="0">
                <c:v>Jan</c:v>
              </c:pt>
              <c:pt idx="1">
                <c:v>Feb</c:v>
              </c:pt>
              <c:pt idx="2">
                <c:v>Mac</c:v>
              </c:pt>
              <c:pt idx="3">
                <c:v>April</c:v>
              </c:pt>
            </c:strLit>
          </c:cat>
          <c:val>
            <c:numLit>
              <c:formatCode>General</c:formatCode>
              <c:ptCount val="4"/>
              <c:pt idx="0">
                <c:v>7138</c:v>
              </c:pt>
              <c:pt idx="1">
                <c:v>3800</c:v>
              </c:pt>
              <c:pt idx="2">
                <c:v>3400</c:v>
              </c:pt>
              <c:pt idx="3">
                <c:v>5124</c:v>
              </c:pt>
            </c:numLit>
          </c:val>
        </c:ser>
        <c:ser>
          <c:idx val="3"/>
          <c:order val="3"/>
          <c:tx>
            <c:v>Calculated detail total</c:v>
          </c:tx>
          <c:cat>
            <c:strLit>
              <c:ptCount val="4"/>
              <c:pt idx="0">
                <c:v>Jan</c:v>
              </c:pt>
              <c:pt idx="1">
                <c:v>Feb</c:v>
              </c:pt>
              <c:pt idx="2">
                <c:v>Mac</c:v>
              </c:pt>
              <c:pt idx="3">
                <c:v>April</c:v>
              </c:pt>
            </c:strLit>
          </c:cat>
          <c:val>
            <c:numLit>
              <c:formatCode>General</c:formatCode>
              <c:ptCount val="4"/>
              <c:pt idx="0">
                <c:v>7138</c:v>
              </c:pt>
              <c:pt idx="1">
                <c:v>3800</c:v>
              </c:pt>
              <c:pt idx="2">
                <c:v>5200</c:v>
              </c:pt>
              <c:pt idx="3">
                <c:v>5124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20</xdr:row>
      <xdr:rowOff>0</xdr:rowOff>
    </xdr:from>
    <xdr:ext cx="59055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9fd65755244fe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365ca9a698417e" /></Relationships>
</file>

<file path=xl/worksheets/sheet1.xml><?xml version="1.0" encoding="utf-8"?>
<x:worksheet xmlns:x="http://schemas.openxmlformats.org/spreadsheetml/2006/main">
  <x:sheetFormatPr defaultRowHeight="15"/>
  <x:cols>
    <x:col min="1" max="1" width="66" hidden="0" customWidth="1"/>
    <x:col min="2" max="2" width="40" hidden="0" customWidth="1"/>
    <x:col min="3" max="3" width="4.21999979019165" hidden="0" customWidth="1"/>
    <x:col min="4" max="4" width="16.329999923706055" hidden="0" customWidth="1"/>
    <x:col min="5" max="5" width="5" hidden="0" customWidth="1"/>
    <x:col min="6" max="6" width="6" hidden="0" customWidth="1"/>
    <x:col min="7" max="7" width="22.670000076293945" hidden="0" customWidth="1"/>
    <x:col min="8" max="8" width="36.66999816894531" hidden="0" customWidth="1"/>
  </x:cols>
  <x:sheetData>
    <x:row r="1" ht="19.200000762939453" hidden="0" customHeight="1">
      <x:c r="A1" s="5" t="str">
        <x:v>Perfect Oil Resources Sabah - Diesel Usage 2026 Analysis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/>
    <x:row r="3" ht="15" hidden="0" customHeight="1">
      <x:c r="A3" s="12" t="str">
        <x:v>Company</x:v>
      </x:c>
      <x:c r="B3" s="10" t="str">
        <x:v>PERFECT OIL RESOURCES (SABAH) SDN BHD.</x:v>
      </x:c>
      <x:c r="D3" s="18" t="str">
        <x:v>Key Metric</x:v>
      </x:c>
      <x:c r="E3" s="18" t="str">
        <x:v>Value</x:v>
      </x:c>
      <x:c r="F3" s="18" t="str">
        <x:v>Unit</x:v>
      </x:c>
      <x:c r="G3" s="18" t="str">
        <x:v>Basis</x:v>
      </x:c>
      <x:c r="H3" s="18" t="str">
        <x:v>Interpretation</x:v>
      </x:c>
    </x:row>
    <x:row r="4" ht="15" hidden="0" customHeight="1">
      <x:c r="A4" s="12" t="str">
        <x:v>Company No.</x:v>
      </x:c>
      <x:c r="B4" s="10" t="str">
        <x:v>629038-U</x:v>
      </x:c>
      <x:c r="D4" s="10" t="str">
        <x:v>Jan-Apr detail total</x:v>
      </x:c>
      <x:c r="E4" s="19" t="n">
        <x:f>'Diesel Table'!O7</x:f>
        <x:v>21262</x:v>
      </x:c>
      <x:c r="F4" s="10" t="str">
        <x:v>L</x:v>
      </x:c>
      <x:c r="G4" s="10" t="str">
        <x:v>Sum of generator rows</x:v>
      </x:c>
      <x:c r="H4" s="10" t="str">
        <x:v>Best operational total if generator rows are trusted.</x:v>
      </x:c>
    </x:row>
    <x:row r="5" ht="15" hidden="0" customHeight="1">
      <x:c r="A5" s="12" t="str">
        <x:v>Address</x:v>
      </x:c>
      <x:c r="B5" s="10" t="str">
        <x:v>Block 15, Lot 148, 1st Floor, Prima Square, Phase II, Mile 4, North Road, 90000 Sandakan Sabah.</x:v>
      </x:c>
      <x:c r="D5" s="10" t="str">
        <x:v>Jan-Apr printed total</x:v>
      </x:c>
      <x:c r="E5" s="19" t="n">
        <x:f>SUM('Diesel Table'!C6:F6)</x:f>
        <x:v>19462</x:v>
      </x:c>
      <x:c r="F5" s="10" t="str">
        <x:v>L</x:v>
      </x:c>
      <x:c r="G5" s="10" t="str">
        <x:v>Sum of red printed monthly totals</x:v>
      </x:c>
      <x:c r="H5" s="10" t="str">
        <x:v>Lower by 1,800L because March total appears inconsistent.</x:v>
      </x:c>
    </x:row>
    <x:row r="6" ht="15" hidden="0" customHeight="1">
      <x:c r="A6" s="12" t="str">
        <x:v>Source document</x:v>
      </x:c>
      <x:c r="B6" s="10" t="str">
        <x:v>Photo of Yearly Total Diesel Usage 2026 sheet</x:v>
      </x:c>
      <x:c r="D6" s="21" t="str">
        <x:v>Variance</x:v>
      </x:c>
      <x:c r="E6" s="22" t="n">
        <x:f>E4-E5</x:f>
        <x:v>1800</x:v>
      </x:c>
      <x:c r="F6" s="21" t="str">
        <x:v>L</x:v>
      </x:c>
      <x:c r="G6" s="21" t="str">
        <x:v>Detail total - printed total</x:v>
      </x:c>
      <x:c r="H6" s="21" t="str">
        <x:v>Needs confirmation before using for billing/forecasting.</x:v>
      </x:c>
    </x:row>
    <x:row r="7" ht="15" hidden="0" customHeight="1">
      <x:c r="A7" s="12" t="str">
        <x:v>Data coverage</x:v>
      </x:c>
      <x:c r="B7" s="10" t="str">
        <x:v>Printed monthly data is populated for Jan-Apr; May-Dec printed total row shows 0 and generator detail is blank.</x:v>
      </x:c>
      <x:c r="D7" s="10" t="str">
        <x:v>Average month Jan-Apr</x:v>
      </x:c>
      <x:c r="E7" s="19" t="n">
        <x:f>E4/4</x:f>
        <x:v>5315.5</x:v>
      </x:c>
      <x:c r="F7" s="10" t="str">
        <x:v>L/month</x:v>
      </x:c>
      <x:c r="G7" s="10" t="str">
        <x:v>Detail total / 4</x:v>
      </x:c>
      <x:c r="H7" s="10" t="str">
        <x:v>Run-rate based on actual populated months.</x:v>
      </x:c>
    </x:row>
    <x:row r="8" ht="15" hidden="0" customHeight="1">
      <x:c r="A8" s="12" t="str">
        <x:v>Primary data issue</x:v>
      </x:c>
      <x:c r="B8" s="10" t="str">
        <x:v>Mac/March printed total does not match generator detail.</x:v>
      </x:c>
      <x:c r="D8" s="10" t="str">
        <x:v>Highest month</x:v>
      </x:c>
      <x:c r="E8" s="19" t="str">
        <x:f>INDEX('Diesel Table'!C3:F3,1,MATCH(MAX('Diesel Table'!C7:F7),'Diesel Table'!C7:F7,0))</x:f>
        <x:v>Jan</x:v>
      </x:c>
      <x:c r="F8" s="10" t="str">
        <x:v>Month</x:v>
      </x:c>
      <x:c r="G8" s="10" t="str">
        <x:v>Calculated generator detail</x:v>
      </x:c>
      <x:c r="H8" s="10" t="str">
        <x:v>Jan is highest in both printed and detail views.</x:v>
      </x:c>
    </x:row>
    <x:row r="9" ht="15" hidden="0" customHeight="1">
      <x:c r="A9" s="12" t="str">
        <x:v>Extraction date</x:v>
      </x:c>
      <x:c r="B9" s="10" t="str">
        <x:v>2026-05-21</x:v>
      </x:c>
      <x:c r="D9" s="10" t="str">
        <x:v>Olympian 80kW share</x:v>
      </x:c>
      <x:c r="E9" s="20" t="n">
        <x:f>'Diesel Table'!O4/'Diesel Table'!O7</x:f>
        <x:v>0.541905747342677</x:v>
      </x:c>
      <x:c r="F9" s="10" t="str">
        <x:v>%</x:v>
      </x:c>
      <x:c r="G9" s="10" t="str">
        <x:v>Generator detail</x:v>
      </x:c>
      <x:c r="H9" s="10" t="str">
        <x:v>Share of Jan-Apr detailed usage.</x:v>
      </x:c>
    </x:row>
    <x:row r="10" ht="15" hidden="0" customHeight="1">
      <x:c r="A10" s="12" t="str">
        <x:v>Prepared output</x:v>
      </x:c>
      <x:c r="B10" s="10" t="str">
        <x:v>Structured workbook with source table, handwritten notes, checks, and chart.</x:v>
      </x:c>
      <x:c r="D10" s="10" t="str">
        <x:v>Caterpillar 120kW share</x:v>
      </x:c>
      <x:c r="E10" s="20" t="n">
        <x:f>'Diesel Table'!O5/'Diesel Table'!O7</x:f>
        <x:v>0.4580942526573229</x:v>
      </x:c>
      <x:c r="F10" s="10" t="str">
        <x:v>%</x:v>
      </x:c>
      <x:c r="G10" s="10" t="str">
        <x:v>Generator detail</x:v>
      </x:c>
      <x:c r="H10" s="10" t="str">
        <x:v>Share of Jan-Apr detailed usage.</x:v>
      </x:c>
    </x:row>
    <x:row r="11" ht="15" hidden="0" customHeight="1">
      <x:c r="D11" s="10" t="str">
        <x:v>Recorded 80kW avg</x:v>
      </x:c>
      <x:c r="E11" s="19" t="n">
        <x:f>'Diesel Table'!O4/4</x:f>
        <x:v>2880.5</x:v>
      </x:c>
      <x:c r="F11" s="10" t="str">
        <x:v>L/month</x:v>
      </x:c>
      <x:c r="G11" s="10" t="str">
        <x:v>Jan-Apr row average</x:v>
      </x:c>
      <x:c r="H11" s="10" t="str">
        <x:v>Compare with handwritten note of avg 2,000L.</x:v>
      </x:c>
    </x:row>
    <x:row r="12" ht="15" hidden="0" customHeight="1">
      <x:c r="D12" s="10" t="str">
        <x:v>Recorded 120kW avg</x:v>
      </x:c>
      <x:c r="E12" s="19" t="n">
        <x:f>'Diesel Table'!O5/4</x:f>
        <x:v>2435</x:v>
      </x:c>
      <x:c r="F12" s="10" t="str">
        <x:v>L/month</x:v>
      </x:c>
      <x:c r="G12" s="10" t="str">
        <x:v>Jan-Apr row average</x:v>
      </x:c>
      <x:c r="H12" s="10" t="str">
        <x:v>Close to handwritten note of avg 2,300L.</x:v>
      </x:c>
    </x:row>
    <x:row r="13" ht="15" hidden="0" customHeight="1">
      <x:c r="A13" s="28" t="str">
        <x:v>Main Takeaways</x:v>
      </x:c>
      <x:c r="B13" s="29" t="str"/>
      <x:c r="C13" s="29" t="str"/>
      <x:c r="D13" s="29" t="str"/>
      <x:c r="E13" s="29" t="str"/>
      <x:c r="F13" s="29" t="str"/>
      <x:c r="G13" s="29" t="str"/>
      <x:c r="H13" s="30" t="str"/>
    </x:row>
    <x:row r="14" ht="15" hidden="0" customHeight="1">
      <x:c r="A14" s="33" t="str">
        <x:v>1</x:v>
      </x:c>
      <x:c r="B14" s="10" t="str">
        <x:v>Only Jan-Apr has usable generator-level values. May-Dec is not yet populated.</x:v>
      </x:c>
      <x:c r="C14" s="10" t="str"/>
      <x:c r="D14" s="10" t="str"/>
      <x:c r="E14" s="10" t="str"/>
      <x:c r="F14" s="10" t="str"/>
      <x:c r="G14" s="10" t="str"/>
      <x:c r="H14" s="10" t="str"/>
    </x:row>
    <x:row r="15" ht="15" hidden="0" customHeight="1">
      <x:c r="A15" s="33" t="str">
        <x:v>2</x:v>
      </x:c>
      <x:c r="B15" s="10" t="str">
        <x:v>March/Mac requires correction: detail rows imply 5,200L, while printed total says 3,400L.</x:v>
      </x:c>
      <x:c r="C15" s="10" t="str"/>
      <x:c r="D15" s="10" t="str"/>
      <x:c r="E15" s="10" t="str"/>
      <x:c r="F15" s="10" t="str"/>
      <x:c r="G15" s="10" t="str"/>
      <x:c r="H15" s="10" t="str"/>
    </x:row>
    <x:row r="16" ht="15" hidden="0" customHeight="1">
      <x:c r="A16" s="33" t="str">
        <x:v>3</x:v>
      </x:c>
      <x:c r="B16" s="10" t="str">
        <x:v>Using generator detail, Jan-Apr total is 21,262L and average run-rate is 5,315.5L per month.</x:v>
      </x:c>
      <x:c r="C16" s="10" t="str"/>
      <x:c r="D16" s="10" t="str"/>
      <x:c r="E16" s="10" t="str"/>
      <x:c r="F16" s="10" t="str"/>
      <x:c r="G16" s="10" t="str"/>
      <x:c r="H16" s="10" t="str"/>
    </x:row>
    <x:row r="17" ht="15" hidden="0" customHeight="1">
      <x:c r="A17" s="33" t="str">
        <x:v>4</x:v>
      </x:c>
      <x:c r="B17" s="10" t="str">
        <x:v>Handwritten notes suggest manual switchover / lower maintenance and genset swap schedules, but several items need confirmation.</x:v>
      </x:c>
      <x:c r="C17" s="10" t="str"/>
      <x:c r="D17" s="10" t="str"/>
      <x:c r="E17" s="10" t="str"/>
      <x:c r="F17" s="10" t="str"/>
      <x:c r="G17" s="10" t="str"/>
      <x:c r="H17" s="10" t="str"/>
    </x:row>
    <x:row r="18" ht="15" hidden="0" customHeight="1">
      <x:c r="A18" s="33" t="str">
        <x:v>5</x:v>
      </x:c>
      <x:c r="B18" s="10" t="str">
        <x:v>For planning, keep separate assumptions for generator size, monthly diesel average, and run hours per shift.</x:v>
      </x:c>
      <x:c r="C18" s="10" t="str"/>
      <x:c r="D18" s="10" t="str"/>
      <x:c r="E18" s="10" t="str"/>
      <x:c r="F18" s="10" t="str"/>
      <x:c r="G18" s="10" t="str"/>
      <x:c r="H18" s="10" t="str"/>
    </x:row>
    <x:row r="19"/>
    <x:row r="20" ht="15" hidden="0" customHeight="1">
      <x:c r="A20" s="18" t="str">
        <x:v>Chart Source</x:v>
      </x:c>
      <x:c r="B20" s="18" t="str">
        <x:v>Jan</x:v>
      </x:c>
      <x:c r="C20" s="18" t="str">
        <x:v>Feb</x:v>
      </x:c>
      <x:c r="D20" s="18" t="str">
        <x:v>Mac</x:v>
      </x:c>
      <x:c r="E20" s="18" t="str">
        <x:v>April</x:v>
      </x:c>
    </x:row>
    <x:row r="21" ht="15" hidden="0" customHeight="1">
      <x:c r="A21" s="10" t="str">
        <x:v>Olympian 80kW</x:v>
      </x:c>
      <x:c r="B21" s="19" t="n">
        <x:v>3538</x:v>
      </x:c>
      <x:c r="C21" s="19" t="n">
        <x:v>1900</x:v>
      </x:c>
      <x:c r="D21" s="19" t="n">
        <x:v>3300</x:v>
      </x:c>
      <x:c r="E21" s="19" t="n">
        <x:v>2784</x:v>
      </x:c>
    </x:row>
    <x:row r="22" ht="15" hidden="0" customHeight="1">
      <x:c r="A22" s="10" t="str">
        <x:v>Caterpillar 120kW</x:v>
      </x:c>
      <x:c r="B22" s="19" t="n">
        <x:v>3600</x:v>
      </x:c>
      <x:c r="C22" s="19" t="n">
        <x:v>1900</x:v>
      </x:c>
      <x:c r="D22" s="19" t="n">
        <x:v>1900</x:v>
      </x:c>
      <x:c r="E22" s="19" t="n">
        <x:v>2340</x:v>
      </x:c>
    </x:row>
    <x:row r="23" ht="15" hidden="0" customHeight="1">
      <x:c r="A23" s="10" t="str">
        <x:v>Printed total</x:v>
      </x:c>
      <x:c r="B23" s="19" t="n">
        <x:v>7138</x:v>
      </x:c>
      <x:c r="C23" s="19" t="n">
        <x:v>3800</x:v>
      </x:c>
      <x:c r="D23" s="19" t="n">
        <x:v>3400</x:v>
      </x:c>
      <x:c r="E23" s="19" t="n">
        <x:v>5124</x:v>
      </x:c>
    </x:row>
    <x:row r="24" ht="15" hidden="0" customHeight="1">
      <x:c r="A24" s="10" t="str">
        <x:v>Calculated detail total</x:v>
      </x:c>
      <x:c r="B24" s="19" t="n">
        <x:v>7138</x:v>
      </x:c>
      <x:c r="C24" s="19" t="n">
        <x:v>3800</x:v>
      </x:c>
      <x:c r="D24" s="19" t="n">
        <x:v>5200</x:v>
      </x:c>
      <x:c r="E24" s="19" t="n">
        <x:v>5124</x:v>
      </x:c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  <x:drawing xmlns:r="http://schemas.openxmlformats.org/officeDocument/2006/relationships" r:id="Rc3365ca9a698417e"/>
</x:worksheet>
</file>

<file path=xl/worksheets/sheet2.xml><?xml version="1.0" encoding="utf-8"?>
<x:worksheet xmlns:x="http://schemas.openxmlformats.org/spreadsheetml/2006/main">
  <x:sheetFormatPr defaultRowHeight="15"/>
  <x:cols>
    <x:col min="1" max="1" width="63.33000183105469" hidden="0" customWidth="1"/>
    <x:col min="2" max="2" width="10" hidden="0" customWidth="1"/>
    <x:col min="3" max="3" width="9.109999656677246" hidden="0" customWidth="1"/>
    <x:col min="4" max="4" width="12.220000267028809" hidden="0" customWidth="1"/>
    <x:col min="5" max="5" width="7.78000020980835" hidden="0" customWidth="1"/>
    <x:col min="6" max="6" width="47.560001373291016" hidden="0" customWidth="1"/>
    <x:col min="7" max="7" width="3.440000057220459" hidden="0" customWidth="1"/>
    <x:col min="8" max="8" width="3.109999895095825" hidden="0" customWidth="1"/>
    <x:col min="9" max="9" width="3.3299999237060547" hidden="0" customWidth="1"/>
    <x:col min="10" max="10" width="3.3299999237060547" hidden="0" customWidth="1"/>
    <x:col min="11" max="11" width="4.110000133514404" hidden="0" customWidth="1"/>
    <x:col min="12" max="12" width="3" hidden="0" customWidth="1"/>
    <x:col min="13" max="13" width="3.2200000286102295" hidden="0" customWidth="1"/>
    <x:col min="14" max="14" width="3.3299999237060547" hidden="0" customWidth="1"/>
    <x:col min="15" max="15" width="14.109999656677246" hidden="0" customWidth="1"/>
    <x:col min="16" max="16" width="14.670000076293945" hidden="0" customWidth="1"/>
    <x:col min="17" max="17" width="40" hidden="0" customWidth="1"/>
  </x:cols>
  <x:sheetData>
    <x:row r="1" ht="19.200000762939453" hidden="0" customHeight="1">
      <x:c r="A1" s="38" t="str">
        <x:v>Yearly Total Diesel Usage 2026 - Extracted Source Table</x:v>
      </x:c>
      <x:c r="B1" s="38" t="str"/>
      <x:c r="C1" s="38" t="str"/>
      <x:c r="D1" s="38" t="str"/>
      <x:c r="E1" s="38" t="str"/>
      <x:c r="F1" s="38" t="str"/>
      <x:c r="G1" s="38" t="str"/>
      <x:c r="H1" s="38" t="str"/>
      <x:c r="I1" s="38" t="str"/>
      <x:c r="J1" s="38" t="str"/>
      <x:c r="K1" s="38" t="str"/>
      <x:c r="L1" s="38" t="str"/>
      <x:c r="M1" s="38" t="str"/>
      <x:c r="N1" s="38" t="str"/>
      <x:c r="O1" s="38" t="str"/>
      <x:c r="P1" s="38" t="str"/>
      <x:c r="Q1" s="38" t="str"/>
    </x:row>
    <x:row r="2"/>
    <x:row r="3" ht="15" hidden="0" customHeight="1">
      <x:c r="A3" s="44" t="str">
        <x:v>Generator</x:v>
      </x:c>
      <x:c r="B3" s="44" t="str">
        <x:v>Capacity</x:v>
      </x:c>
      <x:c r="C3" s="44" t="str">
        <x:v>Jan</x:v>
      </x:c>
      <x:c r="D3" s="44" t="str">
        <x:v>Feb</x:v>
      </x:c>
      <x:c r="E3" s="44" t="str">
        <x:v>Mac</x:v>
      </x:c>
      <x:c r="F3" s="44" t="str">
        <x:v>April</x:v>
      </x:c>
      <x:c r="G3" s="44" t="str">
        <x:v>May</x:v>
      </x:c>
      <x:c r="H3" s="44" t="str">
        <x:v>Jun</x:v>
      </x:c>
      <x:c r="I3" s="44" t="str">
        <x:v>July</x:v>
      </x:c>
      <x:c r="J3" s="44" t="str">
        <x:v>Aug</x:v>
      </x:c>
      <x:c r="K3" s="44" t="str">
        <x:v>Sept.</x:v>
      </x:c>
      <x:c r="L3" s="44" t="str">
        <x:v>Oct</x:v>
      </x:c>
      <x:c r="M3" s="44" t="str">
        <x:v>Nov</x:v>
      </x:c>
      <x:c r="N3" s="44" t="str">
        <x:v>Dec</x:v>
      </x:c>
      <x:c r="O3" s="44" t="str">
        <x:v>Jan-Apr Calculated</x:v>
      </x:c>
      <x:c r="P3" s="44" t="str">
        <x:v>Full-Year Calculated</x:v>
      </x:c>
      <x:c r="Q3" s="44" t="str">
        <x:v>Source / Notes</x:v>
      </x:c>
    </x:row>
    <x:row r="4" ht="15" hidden="0" customHeight="1">
      <x:c r="A4" s="10" t="str">
        <x:v>Olympian</x:v>
      </x:c>
      <x:c r="B4" s="10" t="str">
        <x:v>80kW</x:v>
      </x:c>
      <x:c r="C4" s="19" t="n">
        <x:v>3538</x:v>
      </x:c>
      <x:c r="D4" s="19" t="n">
        <x:v>1900</x:v>
      </x:c>
      <x:c r="E4" s="19" t="n">
        <x:v>3300</x:v>
      </x:c>
      <x:c r="F4" s="19" t="n">
        <x:v>2784</x:v>
      </x:c>
      <x:c r="G4" s="19"/>
      <x:c r="H4" s="19"/>
      <x:c r="I4" s="19"/>
      <x:c r="J4" s="19"/>
      <x:c r="K4" s="19"/>
      <x:c r="L4" s="19"/>
      <x:c r="M4" s="19"/>
      <x:c r="N4" s="19"/>
      <x:c r="O4" s="19" t="n">
        <x:f>SUM(C4:F4)</x:f>
        <x:v>11522</x:v>
      </x:c>
      <x:c r="P4" s="19" t="n">
        <x:f>SUM(C4:N4)</x:f>
        <x:v>11522</x:v>
      </x:c>
      <x:c r="Q4" s="10" t="str">
        <x:v>Printed row values visible in photo; May-Dec blank.</x:v>
      </x:c>
    </x:row>
    <x:row r="5" ht="15" hidden="0" customHeight="1">
      <x:c r="A5" s="10" t="str">
        <x:v>Caterpillar</x:v>
      </x:c>
      <x:c r="B5" s="10" t="str">
        <x:v>120kW</x:v>
      </x:c>
      <x:c r="C5" s="19" t="n">
        <x:v>3600</x:v>
      </x:c>
      <x:c r="D5" s="19" t="n">
        <x:v>1900</x:v>
      </x:c>
      <x:c r="E5" s="19" t="n">
        <x:v>1900</x:v>
      </x:c>
      <x:c r="F5" s="19" t="n">
        <x:v>2340</x:v>
      </x:c>
      <x:c r="G5" s="19"/>
      <x:c r="H5" s="19"/>
      <x:c r="I5" s="19"/>
      <x:c r="J5" s="19"/>
      <x:c r="K5" s="19"/>
      <x:c r="L5" s="19"/>
      <x:c r="M5" s="19"/>
      <x:c r="N5" s="19"/>
      <x:c r="O5" s="19" t="n">
        <x:f>SUM(C5:F5)</x:f>
        <x:v>9740</x:v>
      </x:c>
      <x:c r="P5" s="19" t="n">
        <x:f>SUM(C5:N5)</x:f>
        <x:v>9740</x:v>
      </x:c>
      <x:c r="Q5" s="10" t="str">
        <x:v>Printed row values visible in photo; May-Dec blank.</x:v>
      </x:c>
    </x:row>
    <x:row r="6" ht="15" hidden="0" customHeight="1">
      <x:c r="A6" s="45" t="str">
        <x:v>Printed total row</x:v>
      </x:c>
      <x:c r="B6" s="45" t="str"/>
      <x:c r="C6" s="47" t="n">
        <x:v>7138</x:v>
      </x:c>
      <x:c r="D6" s="47" t="n">
        <x:v>3800</x:v>
      </x:c>
      <x:c r="E6" s="47" t="n">
        <x:v>3400</x:v>
      </x:c>
      <x:c r="F6" s="47" t="n">
        <x:v>5124</x:v>
      </x:c>
      <x:c r="G6" s="47" t="n">
        <x:v>0</x:v>
      </x:c>
      <x:c r="H6" s="47" t="n">
        <x:v>0</x:v>
      </x:c>
      <x:c r="I6" s="47" t="n">
        <x:v>0</x:v>
      </x:c>
      <x:c r="J6" s="47" t="n">
        <x:v>0</x:v>
      </x:c>
      <x:c r="K6" s="47" t="n">
        <x:v>0</x:v>
      </x:c>
      <x:c r="L6" s="47" t="n">
        <x:v>0</x:v>
      </x:c>
      <x:c r="M6" s="47" t="n">
        <x:v>0</x:v>
      </x:c>
      <x:c r="N6" s="47" t="n">
        <x:v>0</x:v>
      </x:c>
      <x:c r="O6" s="47" t="n">
        <x:f>SUM(C6:F6)</x:f>
        <x:v>19462</x:v>
      </x:c>
      <x:c r="P6" s="47" t="n">
        <x:f>SUM(C6:N6)</x:f>
        <x:v>19462</x:v>
      </x:c>
      <x:c r="Q6" s="45" t="str">
        <x:v>Red total row as printed in source image.</x:v>
      </x:c>
    </x:row>
    <x:row r="7" ht="15" hidden="0" customHeight="1">
      <x:c r="A7" s="46" t="str">
        <x:v>Calculated detail total</x:v>
      </x:c>
      <x:c r="B7" s="46" t="str"/>
      <x:c r="C7" s="48" t="n">
        <x:f>SUM(C4:C5)</x:f>
        <x:v>7138</x:v>
      </x:c>
      <x:c r="D7" s="48" t="n">
        <x:f>SUM(D4:D5)</x:f>
        <x:v>3800</x:v>
      </x:c>
      <x:c r="E7" s="48" t="n">
        <x:f>SUM(E4:E5)</x:f>
        <x:v>5200</x:v>
      </x:c>
      <x:c r="F7" s="48" t="n">
        <x:f>SUM(F4:F5)</x:f>
        <x:v>5124</x:v>
      </x:c>
      <x:c r="G7" s="48" t="n">
        <x:f>SUM(G4:G5)</x:f>
        <x:v>0</x:v>
      </x:c>
      <x:c r="H7" s="48" t="n">
        <x:f>SUM(H4:H5)</x:f>
        <x:v>0</x:v>
      </x:c>
      <x:c r="I7" s="48" t="n">
        <x:f>SUM(I4:I5)</x:f>
        <x:v>0</x:v>
      </x:c>
      <x:c r="J7" s="48" t="n">
        <x:f>SUM(J4:J5)</x:f>
        <x:v>0</x:v>
      </x:c>
      <x:c r="K7" s="48" t="n">
        <x:f>SUM(K4:K5)</x:f>
        <x:v>0</x:v>
      </x:c>
      <x:c r="L7" s="48" t="n">
        <x:f>SUM(L4:L5)</x:f>
        <x:v>0</x:v>
      </x:c>
      <x:c r="M7" s="48" t="n">
        <x:f>SUM(M4:M5)</x:f>
        <x:v>0</x:v>
      </x:c>
      <x:c r="N7" s="48" t="n">
        <x:f>SUM(N4:N5)</x:f>
        <x:v>0</x:v>
      </x:c>
      <x:c r="O7" s="48" t="n">
        <x:f>SUM(C7:F7)</x:f>
        <x:v>21262</x:v>
      </x:c>
      <x:c r="P7" s="48" t="n">
        <x:f>SUM(C7:N7)</x:f>
        <x:v>21262</x:v>
      </x:c>
      <x:c r="Q7" s="46" t="str">
        <x:v>Formula row: sum of two generator rows.</x:v>
      </x:c>
    </x:row>
    <x:row r="8" ht="15" hidden="0" customHeight="1">
      <x:c r="A8" s="21" t="str">
        <x:v>Variance vs printed total</x:v>
      </x:c>
      <x:c r="B8" s="21" t="str"/>
      <x:c r="C8" s="22" t="n">
        <x:f>C7-C6</x:f>
        <x:v>0</x:v>
      </x:c>
      <x:c r="D8" s="22" t="n">
        <x:f>D7-D6</x:f>
        <x:v>0</x:v>
      </x:c>
      <x:c r="E8" s="22" t="n">
        <x:f>E7-E6</x:f>
        <x:v>1800</x:v>
      </x:c>
      <x:c r="F8" s="22" t="n">
        <x:f>F7-F6</x:f>
        <x:v>0</x:v>
      </x:c>
      <x:c r="G8" s="22" t="n">
        <x:f>G7-G6</x:f>
        <x:v>0</x:v>
      </x:c>
      <x:c r="H8" s="22" t="n">
        <x:f>H7-H6</x:f>
        <x:v>0</x:v>
      </x:c>
      <x:c r="I8" s="22" t="n">
        <x:f>I7-I6</x:f>
        <x:v>0</x:v>
      </x:c>
      <x:c r="J8" s="22" t="n">
        <x:f>J7-J6</x:f>
        <x:v>0</x:v>
      </x:c>
      <x:c r="K8" s="22" t="n">
        <x:f>K7-K6</x:f>
        <x:v>0</x:v>
      </x:c>
      <x:c r="L8" s="22" t="n">
        <x:f>L7-L6</x:f>
        <x:v>0</x:v>
      </x:c>
      <x:c r="M8" s="22" t="n">
        <x:f>M7-M6</x:f>
        <x:v>0</x:v>
      </x:c>
      <x:c r="N8" s="22" t="n">
        <x:f>N7-N6</x:f>
        <x:v>0</x:v>
      </x:c>
      <x:c r="O8" s="22" t="n">
        <x:f>SUM(C8:F8)</x:f>
        <x:v>1800</x:v>
      </x:c>
      <x:c r="P8" s="22" t="n">
        <x:f>SUM(C8:N8)</x:f>
        <x:v>1800</x:v>
      </x:c>
      <x:c r="Q8" s="21" t="str">
        <x:v>Positive value means printed total is lower than generator detail.</x:v>
      </x:c>
    </x:row>
    <x:row r="9" ht="15" hidden="0" customHeight="1">
      <x:c r="A9" s="10" t="str">
        <x:v>Status</x:v>
      </x:c>
      <x:c r="B9" s="10" t="str"/>
      <x:c r="C9" s="49" t="str">
        <x:f>IF(C8=0,"OK","Check")</x:f>
        <x:v>OK</x:v>
      </x:c>
      <x:c r="D9" s="49" t="str">
        <x:f>IF(D8=0,"OK","Check")</x:f>
        <x:v>OK</x:v>
      </x:c>
      <x:c r="E9" s="49" t="str">
        <x:f>IF(E8=0,"OK","Check")</x:f>
        <x:v>Check</x:v>
      </x:c>
      <x:c r="F9" s="49" t="str">
        <x:f>IF(F8=0,"OK","Check")</x:f>
        <x:v>OK</x:v>
      </x:c>
      <x:c r="G9" s="49" t="str">
        <x:f>IF(G8=0,"OK","Check")</x:f>
        <x:v>OK</x:v>
      </x:c>
      <x:c r="H9" s="49" t="str">
        <x:f>IF(H8=0,"OK","Check")</x:f>
        <x:v>OK</x:v>
      </x:c>
      <x:c r="I9" s="49" t="str">
        <x:f>IF(I8=0,"OK","Check")</x:f>
        <x:v>OK</x:v>
      </x:c>
      <x:c r="J9" s="49" t="str">
        <x:f>IF(J8=0,"OK","Check")</x:f>
        <x:v>OK</x:v>
      </x:c>
      <x:c r="K9" s="49" t="str">
        <x:f>IF(K8=0,"OK","Check")</x:f>
        <x:v>OK</x:v>
      </x:c>
      <x:c r="L9" s="49" t="str">
        <x:f>IF(L8=0,"OK","Check")</x:f>
        <x:v>OK</x:v>
      </x:c>
      <x:c r="M9" s="49" t="str">
        <x:f>IF(M8=0,"OK","Check")</x:f>
        <x:v>OK</x:v>
      </x:c>
      <x:c r="N9" s="49" t="str">
        <x:f>IF(N8=0,"OK","Check")</x:f>
        <x:v>OK</x:v>
      </x:c>
      <x:c r="O9" s="10"/>
      <x:c r="P9" s="10"/>
      <x:c r="Q9" s="10" t="str">
        <x:v>March/Mac is flagged because variance is 1,800L.</x:v>
      </x:c>
    </x:row>
    <x:row r="10"/>
    <x:row r="11"/>
    <x:row r="12" ht="15" hidden="0" customHeight="1">
      <x:c r="A12" s="44" t="str">
        <x:v>Generator Summary</x:v>
      </x:c>
      <x:c r="B12" s="44" t="str">
        <x:v>Jan-Apr Total</x:v>
      </x:c>
      <x:c r="C12" s="44" t="str">
        <x:v>Avg / Month</x:v>
      </x:c>
      <x:c r="D12" s="44" t="str">
        <x:v>Handwritten Avg</x:v>
      </x:c>
      <x:c r="E12" s="44" t="str">
        <x:v>Difference</x:v>
      </x:c>
      <x:c r="F12" s="44" t="str">
        <x:v>Comment</x:v>
      </x:c>
    </x:row>
    <x:row r="13" ht="15" hidden="0" customHeight="1">
      <x:c r="A13" s="10" t="str">
        <x:v>Olympian 80kW</x:v>
      </x:c>
      <x:c r="B13" s="19" t="n">
        <x:f>O4</x:f>
        <x:v>11522</x:v>
      </x:c>
      <x:c r="C13" s="19" t="n">
        <x:f>B13/4</x:f>
        <x:v>2880.5</x:v>
      </x:c>
      <x:c r="D13" s="19" t="n">
        <x:v>2000</x:v>
      </x:c>
      <x:c r="E13" s="19" t="n">
        <x:f>C13-D13</x:f>
        <x:v>880.5</x:v>
      </x:c>
      <x:c r="F13" s="10" t="str">
        <x:v>Handwritten note says avg 2,000L; recorded Jan-Apr average is higher.</x:v>
      </x:c>
    </x:row>
    <x:row r="14" ht="15" hidden="0" customHeight="1">
      <x:c r="A14" s="10" t="str">
        <x:v>Caterpillar 120kW</x:v>
      </x:c>
      <x:c r="B14" s="19" t="n">
        <x:f>O5</x:f>
        <x:v>9740</x:v>
      </x:c>
      <x:c r="C14" s="19" t="n">
        <x:f>B14/4</x:f>
        <x:v>2435</x:v>
      </x:c>
      <x:c r="D14" s="19" t="n">
        <x:v>2300</x:v>
      </x:c>
      <x:c r="E14" s="19" t="n">
        <x:f>C14-D14</x:f>
        <x:v>135</x:v>
      </x:c>
      <x:c r="F14" s="10" t="str">
        <x:v>Handwritten note says avg 2,300L; recorded Jan-Apr average is close.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C9:N9">
    <x:cfRule type="containsText" dxfId="0" priority="1" operator="containsText" text="Che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9.779998779296875" hidden="0" customWidth="1"/>
    <x:col min="2" max="2" width="22.329999923706055" hidden="0" customWidth="1"/>
    <x:col min="3" max="3" width="40" hidden="0" customWidth="1"/>
    <x:col min="4" max="4" width="22.110000610351562" hidden="0" customWidth="1"/>
    <x:col min="5" max="5" width="9.220000267028809" hidden="0" customWidth="1"/>
    <x:col min="6" max="6" width="20.110000610351562" hidden="0" customWidth="1"/>
    <x:col min="7" max="7" width="31.110000610351562" hidden="0" customWidth="1"/>
    <x:col min="8" max="8" width="31.110000610351562" hidden="0" customWidth="1"/>
  </x:cols>
  <x:sheetData>
    <x:row r="1" ht="19.200000762939453" hidden="0" customHeight="1">
      <x:c r="A1" s="5" t="str">
        <x:v>Extracted Useful Information and Handwritten Notes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/>
    <x:row r="3" ht="15" hidden="0" customHeight="1">
      <x:c r="A3" s="18" t="str">
        <x:v>Area</x:v>
      </x:c>
      <x:c r="B3" s="18" t="str">
        <x:v>Item</x:v>
      </x:c>
      <x:c r="C3" s="18" t="str">
        <x:v>Extracted Value</x:v>
      </x:c>
      <x:c r="D3" s="18" t="str">
        <x:v>Unit / Capacity</x:v>
      </x:c>
      <x:c r="E3" s="18" t="str">
        <x:v>Confidence</x:v>
      </x:c>
      <x:c r="F3" s="18" t="str">
        <x:v>Usefulness</x:v>
      </x:c>
      <x:c r="G3" s="18" t="str">
        <x:v>Action</x:v>
      </x:c>
      <x:c r="H3" s="18" t="str">
        <x:v>Source Note</x:v>
      </x:c>
    </x:row>
    <x:row r="4" ht="15" hidden="0" customHeight="1">
      <x:c r="A4" s="10" t="str">
        <x:v>Printed header</x:v>
      </x:c>
      <x:c r="B4" s="10" t="str">
        <x:v>Company</x:v>
      </x:c>
      <x:c r="C4" s="10" t="str">
        <x:v>PERFECT OIL RESOURCES (SABAH) SDN BHD.</x:v>
      </x:c>
      <x:c r="D4" s="10" t="str"/>
      <x:c r="E4" s="10" t="str">
        <x:v>High</x:v>
      </x:c>
      <x:c r="F4" s="10" t="str">
        <x:v>Entity identification</x:v>
      </x:c>
      <x:c r="G4" s="10" t="str">
        <x:v>Use as report/company label</x:v>
      </x:c>
      <x:c r="H4" s="10" t="str">
        <x:v>Visible typed header</x:v>
      </x:c>
    </x:row>
    <x:row r="5" ht="15" hidden="0" customHeight="1">
      <x:c r="A5" s="10" t="str">
        <x:v>Printed header</x:v>
      </x:c>
      <x:c r="B5" s="10" t="str">
        <x:v>Company No.</x:v>
      </x:c>
      <x:c r="C5" s="10" t="str">
        <x:v>629038-U</x:v>
      </x:c>
      <x:c r="D5" s="10" t="str"/>
      <x:c r="E5" s="10" t="str">
        <x:v>High</x:v>
      </x:c>
      <x:c r="F5" s="10" t="str">
        <x:v>Entity identification</x:v>
      </x:c>
      <x:c r="G5" s="10" t="str">
        <x:v>Use as reference</x:v>
      </x:c>
      <x:c r="H5" s="10" t="str">
        <x:v>Visible typed header</x:v>
      </x:c>
    </x:row>
    <x:row r="6" ht="15" hidden="0" customHeight="1">
      <x:c r="A6" s="10" t="str">
        <x:v>Printed header</x:v>
      </x:c>
      <x:c r="B6" s="10" t="str">
        <x:v>Address</x:v>
      </x:c>
      <x:c r="C6" s="10" t="str">
        <x:v>Block 15, Lot 148, 1st Floor, Prima Square, Phase II, Mile 4, North Road, 90000 Sandakan Sabah.</x:v>
      </x:c>
      <x:c r="D6" s="10" t="str"/>
      <x:c r="E6" s="10" t="str">
        <x:v>High</x:v>
      </x:c>
      <x:c r="F6" s="10" t="str">
        <x:v>Site/location</x:v>
      </x:c>
      <x:c r="G6" s="10" t="str">
        <x:v>Use as report location</x:v>
      </x:c>
      <x:c r="H6" s="10" t="str">
        <x:v>Visible typed header</x:v>
      </x:c>
    </x:row>
    <x:row r="7" ht="15" hidden="0" customHeight="1">
      <x:c r="A7" s="10" t="str">
        <x:v>Printed table</x:v>
      </x:c>
      <x:c r="B7" s="10" t="str">
        <x:v>Document title</x:v>
      </x:c>
      <x:c r="C7" s="10" t="str">
        <x:v>YEARLY TOTAL DIESEL USAGE 2026</x:v>
      </x:c>
      <x:c r="D7" s="10" t="str"/>
      <x:c r="E7" s="10" t="str">
        <x:v>High</x:v>
      </x:c>
      <x:c r="F7" s="10" t="str">
        <x:v>Dataset scope</x:v>
      </x:c>
      <x:c r="G7" s="10" t="str">
        <x:v>Use as workbook title</x:v>
      </x:c>
      <x:c r="H7" s="10" t="str">
        <x:v>Visible typed title</x:v>
      </x:c>
    </x:row>
    <x:row r="8" ht="15" hidden="0" customHeight="1">
      <x:c r="A8" s="10" t="str">
        <x:v>Printed table</x:v>
      </x:c>
      <x:c r="B8" s="10" t="str">
        <x:v>Olympian generator row</x:v>
      </x:c>
      <x:c r="C8" s="10" t="str">
        <x:v>Jan 3538; Feb 1900; Mac 3300; April 2784</x:v>
      </x:c>
      <x:c r="D8" s="10" t="str">
        <x:v>80kW, liters assumed</x:v>
      </x:c>
      <x:c r="E8" s="10" t="str">
        <x:v>High</x:v>
      </x:c>
      <x:c r="F8" s="10" t="str">
        <x:v>Actual usage record</x:v>
      </x:c>
      <x:c r="G8" s="10" t="str">
        <x:v>Use for analysis</x:v>
      </x:c>
      <x:c r="H8" s="10" t="str">
        <x:v>Unit not printed; diesel usage implies liters</x:v>
      </x:c>
    </x:row>
    <x:row r="9" ht="15" hidden="0" customHeight="1">
      <x:c r="A9" s="10" t="str">
        <x:v>Printed table</x:v>
      </x:c>
      <x:c r="B9" s="10" t="str">
        <x:v>Caterpillar generator row</x:v>
      </x:c>
      <x:c r="C9" s="10" t="str">
        <x:v>Jan 3600; Feb 1900; Mac 1900; April 2340</x:v>
      </x:c>
      <x:c r="D9" s="10" t="str">
        <x:v>120kW, liters assumed</x:v>
      </x:c>
      <x:c r="E9" s="10" t="str">
        <x:v>High</x:v>
      </x:c>
      <x:c r="F9" s="10" t="str">
        <x:v>Actual usage record</x:v>
      </x:c>
      <x:c r="G9" s="10" t="str">
        <x:v>Use for analysis</x:v>
      </x:c>
      <x:c r="H9" s="10" t="str">
        <x:v>Unit not printed; diesel usage implies liters</x:v>
      </x:c>
    </x:row>
    <x:row r="10" ht="15" hidden="0" customHeight="1">
      <x:c r="A10" s="10" t="str">
        <x:v>Printed table</x:v>
      </x:c>
      <x:c r="B10" s="10" t="str">
        <x:v>Red total row</x:v>
      </x:c>
      <x:c r="C10" s="10" t="str">
        <x:v>Jan 7138; Feb 3800; Mac 3400; April 5124; May-Dec 0</x:v>
      </x:c>
      <x:c r="D10" s="10" t="str">
        <x:v>Liters assumed</x:v>
      </x:c>
      <x:c r="E10" s="10" t="str">
        <x:v>High</x:v>
      </x:c>
      <x:c r="F10" s="10" t="str">
        <x:v>Monthly total as entered</x:v>
      </x:c>
      <x:c r="G10" s="10" t="str">
        <x:v>Verify Mac/March</x:v>
      </x:c>
      <x:c r="H10" s="10" t="str">
        <x:v>Mac total conflicts with generator detail</x:v>
      </x:c>
    </x:row>
    <x:row r="11" ht="15" hidden="0" customHeight="1">
      <x:c r="A11" s="10" t="str">
        <x:v>Handwritten</x:v>
      </x:c>
      <x:c r="B11" s="10" t="str">
        <x:v>Maintenance / operation note</x:v>
      </x:c>
      <x:c r="C11" s="10" t="str">
        <x:v>manual switchover; lower maintenance</x:v>
      </x:c>
      <x:c r="D11" s="10" t="str"/>
      <x:c r="E11" s="10" t="str">
        <x:v>Medium</x:v>
      </x:c>
      <x:c r="F11" s="10" t="str">
        <x:v>Operational improvement cue</x:v>
      </x:c>
      <x:c r="G11" s="10" t="str">
        <x:v>Confirm intended switching procedure</x:v>
      </x:c>
      <x:c r="H11" s="10" t="str">
        <x:v>Top-right handwritten note</x:v>
      </x:c>
    </x:row>
    <x:row r="12" ht="15" hidden="0" customHeight="1">
      <x:c r="A12" s="10" t="str">
        <x:v>Handwritten</x:v>
      </x:c>
      <x:c r="B12" s="10" t="str">
        <x:v>Capacity list</x:v>
      </x:c>
      <x:c r="C12" s="10" t="str">
        <x:v>60kVA; 30kW; 1000kVA</x:v>
      </x:c>
      <x:c r="D12" s="10" t="str"/>
      <x:c r="E12" s="10" t="str">
        <x:v>Medium</x:v>
      </x:c>
      <x:c r="F12" s="10" t="str">
        <x:v>Sizing context</x:v>
      </x:c>
      <x:c r="G12" s="10" t="str">
        <x:v>Confirm whether these are target/requested gensets</x:v>
      </x:c>
      <x:c r="H12" s="10" t="str">
        <x:v>Left handwritten bracketed list</x:v>
      </x:c>
    </x:row>
    <x:row r="13" ht="15" hidden="0" customHeight="1">
      <x:c r="A13" s="10" t="str">
        <x:v>Handwritten</x:v>
      </x:c>
      <x:c r="B13" s="10" t="str">
        <x:v>Average diesel estimate</x:v>
      </x:c>
      <x:c r="C13" s="10" t="str">
        <x:v>avg 10,000-15,000L</x:v>
      </x:c>
      <x:c r="D13" s="10" t="str"/>
      <x:c r="E13" s="10" t="str">
        <x:v>Low-Medium</x:v>
      </x:c>
      <x:c r="F13" s="10" t="str">
        <x:v>Planning assumption</x:v>
      </x:c>
      <x:c r="G13" s="10" t="str">
        <x:v>Clarify period and generator grouping</x:v>
      </x:c>
      <x:c r="H13" s="10" t="str">
        <x:v>Near 60kVA/30kW/1000kVA note</x:v>
      </x:c>
    </x:row>
    <x:row r="14" ht="15" hidden="0" customHeight="1">
      <x:c r="A14" s="10" t="str">
        <x:v>Handwritten</x:v>
      </x:c>
      <x:c r="B14" s="10" t="str">
        <x:v>120kW average</x:v>
      </x:c>
      <x:c r="C14" s="10" t="str">
        <x:v>avg 2300L</x:v>
      </x:c>
      <x:c r="D14" s="10" t="str">
        <x:v>120kW</x:v>
      </x:c>
      <x:c r="E14" s="10" t="str">
        <x:v>High</x:v>
      </x:c>
      <x:c r="F14" s="10" t="str">
        <x:v>Compare against records</x:v>
      </x:c>
      <x:c r="G14" s="10" t="str">
        <x:v>Use as assumption after confirmation</x:v>
      </x:c>
      <x:c r="H14" s="10" t="str">
        <x:v>Left-middle handwritten note</x:v>
      </x:c>
    </x:row>
    <x:row r="15" ht="15" hidden="0" customHeight="1">
      <x:c r="A15" s="10" t="str">
        <x:v>Handwritten</x:v>
      </x:c>
      <x:c r="B15" s="10" t="str">
        <x:v>80kW average</x:v>
      </x:c>
      <x:c r="C15" s="10" t="str">
        <x:v>avg 2000L</x:v>
      </x:c>
      <x:c r="D15" s="10" t="str">
        <x:v>80kW</x:v>
      </x:c>
      <x:c r="E15" s="10" t="str">
        <x:v>High</x:v>
      </x:c>
      <x:c r="F15" s="10" t="str">
        <x:v>Compare against records</x:v>
      </x:c>
      <x:c r="G15" s="10" t="str">
        <x:v>Use as assumption after confirmation</x:v>
      </x:c>
      <x:c r="H15" s="10" t="str">
        <x:v>Left-middle handwritten note</x:v>
      </x:c>
    </x:row>
    <x:row r="16" ht="15" hidden="0" customHeight="1">
      <x:c r="A16" s="10" t="str">
        <x:v>Handwritten</x:v>
      </x:c>
      <x:c r="B16" s="10" t="str">
        <x:v>1000kVA run duration</x:v>
      </x:c>
      <x:c r="C16" s="10" t="str">
        <x:v>20-22 days; avg 8 hours per day</x:v>
      </x:c>
      <x:c r="D16" s="10" t="str">
        <x:v>1000kVA</x:v>
      </x:c>
      <x:c r="E16" s="10" t="str">
        <x:v>Medium</x:v>
      </x:c>
      <x:c r="F16" s="10" t="str">
        <x:v>Runtime assumption</x:v>
      </x:c>
      <x:c r="G16" s="10" t="str">
        <x:v>Confirm whether monthly period</x:v>
      </x:c>
      <x:c r="H16" s="10" t="str">
        <x:v>Bottom-left handwritten note</x:v>
      </x:c>
    </x:row>
    <x:row r="17" ht="15" hidden="0" customHeight="1">
      <x:c r="A17" s="10" t="str">
        <x:v>Handwritten</x:v>
      </x:c>
      <x:c r="B17" s="10" t="str">
        <x:v>Site/use note</x:v>
      </x:c>
      <x:c r="C17" s="10" t="str">
        <x:v>quarter / worker / palm oil (unclear)</x:v>
      </x:c>
      <x:c r="D17" s="10" t="str"/>
      <x:c r="E17" s="10" t="str">
        <x:v>Low</x:v>
      </x:c>
      <x:c r="F17" s="10" t="str">
        <x:v>Load/site context</x:v>
      </x:c>
      <x:c r="G17" s="10" t="str">
        <x:v>Needs confirmation</x:v>
      </x:c>
      <x:c r="H17" s="10" t="str">
        <x:v>Center handwritten text is unclear</x:v>
      </x:c>
    </x:row>
    <x:row r="18" ht="15" hidden="0" customHeight="1">
      <x:c r="A18" s="10" t="str">
        <x:v>Handwritten</x:v>
      </x:c>
      <x:c r="B18" s="10" t="str">
        <x:v>Genset 1 schedule</x:v>
      </x:c>
      <x:c r="C18" s="10" t="str">
        <x:v>6:30pm-11pm; 4am-6:30am; 9am-1pm</x:v>
      </x:c>
      <x:c r="D18" s="10" t="str">
        <x:v>120kVA noted nearby</x:v>
      </x:c>
      <x:c r="E18" s="10" t="str">
        <x:v>Medium</x:v>
      </x:c>
      <x:c r="F18" s="10" t="str">
        <x:v>Run schedule</x:v>
      </x:c>
      <x:c r="G18" s="10" t="str">
        <x:v>Confirm final schedule and corrected capacity</x:v>
      </x:c>
      <x:c r="H18" s="10" t="str">
        <x:v>Right-center notes with check marks</x:v>
      </x:c>
    </x:row>
    <x:row r="19" ht="15" hidden="0" customHeight="1">
      <x:c r="A19" s="10" t="str">
        <x:v>Handwritten</x:v>
      </x:c>
      <x:c r="B19" s="10" t="str">
        <x:v>Genset 2 note</x:v>
      </x:c>
      <x:c r="C19" s="10" t="str">
        <x:v>swap; photo is correct</x:v>
      </x:c>
      <x:c r="D19" s="10" t="str">
        <x:v>80kVA noted nearby</x:v>
      </x:c>
      <x:c r="E19" s="10" t="str">
        <x:v>Medium</x:v>
      </x:c>
      <x:c r="F19" s="10" t="str">
        <x:v>Equipment swap instruction</x:v>
      </x:c>
      <x:c r="G19" s="10" t="str">
        <x:v>Confirm swapped labeling</x:v>
      </x:c>
      <x:c r="H19" s="10" t="str">
        <x:v>Right-center notes</x:v>
      </x:c>
    </x:row>
    <x:row r="20" ht="15" hidden="0" customHeight="1">
      <x:c r="A20" s="10" t="str">
        <x:v>Handwritten</x:v>
      </x:c>
      <x:c r="B20" s="10" t="str">
        <x:v>Quarter office + quarter schedule</x:v>
      </x:c>
      <x:c r="C20" s="10" t="str">
        <x:v>Genset 1: 5/6pm-11pm/12am; Genset 2: 12am-7/8am</x:v>
      </x:c>
      <x:c r="D20" s="10" t="str">
        <x:v>Genset 1 60kVA; Genset 2 30kW</x:v>
      </x:c>
      <x:c r="E20" s="10" t="str">
        <x:v>Medium</x:v>
      </x:c>
      <x:c r="F20" s="10" t="str">
        <x:v>Shift schedule</x:v>
      </x:c>
      <x:c r="G20" s="10" t="str">
        <x:v>Clarify exact start/end times</x:v>
      </x:c>
      <x:c r="H20" s="10" t="str">
        <x:v>Bottom-right handwritten notes</x:v>
      </x:c>
    </x:row>
    <x:row r="21" ht="15" hidden="0" customHeight="1">
      <x:c r="A21" s="10" t="str">
        <x:v>Handwritten</x:v>
      </x:c>
      <x:c r="B21" s="10" t="str">
        <x:v>Shift coverage note</x:v>
      </x:c>
      <x:c r="C21" s="10" t="str">
        <x:v>24 hours; 8 hours per shift</x:v>
      </x:c>
      <x:c r="D21" s="10" t="str"/>
      <x:c r="E21" s="10" t="str">
        <x:v>Medium</x:v>
      </x:c>
      <x:c r="F21" s="10" t="str">
        <x:v>Staffing/run planning</x:v>
      </x:c>
      <x:c r="G21" s="10" t="str">
        <x:v>Confirm whether three shifts/day</x:v>
      </x:c>
      <x:c r="H21" s="10" t="str">
        <x:v>Bottom-right note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4:E21">
    <x:cfRule type="containsText" dxfId="1" priority="1" operator="containsText" text="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559999465942383" hidden="0" customWidth="1"/>
    <x:col min="2" max="2" width="32" hidden="0" customWidth="1"/>
    <x:col min="3" max="3" width="18.329999923706055" hidden="0" customWidth="1"/>
    <x:col min="4" max="4" width="6.21999979019165" hidden="0" customWidth="1"/>
    <x:col min="5" max="5" width="40" hidden="0" customWidth="1"/>
    <x:col min="6" max="6" width="5" hidden="0" customWidth="1"/>
  </x:cols>
  <x:sheetData>
    <x:row r="1" ht="19.200000762939453" hidden="0" customHeight="1">
      <x:c r="A1" s="54" t="str">
        <x:v>Data Quality Checks</x:v>
      </x:c>
      <x:c r="B1" s="54" t="str"/>
      <x:c r="C1" s="54" t="str"/>
      <x:c r="D1" s="54" t="str"/>
      <x:c r="E1" s="54" t="str"/>
      <x:c r="F1" s="54" t="str"/>
    </x:row>
    <x:row r="2"/>
    <x:row r="3" ht="15" hidden="0" customHeight="1">
      <x:c r="A3" s="60" t="str">
        <x:v>Check</x:v>
      </x:c>
      <x:c r="B3" s="60" t="str">
        <x:v>Formula / Logic</x:v>
      </x:c>
      <x:c r="C3" s="60" t="str">
        <x:v>Result</x:v>
      </x:c>
      <x:c r="D3" s="60" t="str">
        <x:v>Severity</x:v>
      </x:c>
      <x:c r="E3" s="60" t="str">
        <x:v>Recommended Fix</x:v>
      </x:c>
      <x:c r="F3" s="60" t="str">
        <x:v>Status</x:v>
      </x:c>
    </x:row>
    <x:row r="4" ht="15" hidden="0" customHeight="1">
      <x:c r="A4" s="10" t="str">
        <x:v>Mac/March monthly total</x:v>
      </x:c>
      <x:c r="B4" s="10" t="str">
        <x:v>3300 + 1900 vs printed 3400</x:v>
      </x:c>
      <x:c r="C4" s="19" t="n">
        <x:f>'Diesel Table'!E8</x:f>
        <x:v>1800</x:v>
      </x:c>
      <x:c r="D4" s="10" t="str">
        <x:v>High</x:v>
      </x:c>
      <x:c r="E4" s="10" t="str">
        <x:v>Confirm whether Caterpillar Mac value or red total row is wrong.</x:v>
      </x:c>
      <x:c r="F4" s="10" t="str">
        <x:f>IF(C4=0,"OK","Open")</x:f>
        <x:v>Open</x:v>
      </x:c>
    </x:row>
    <x:row r="5" ht="15" hidden="0" customHeight="1">
      <x:c r="A5" s="10" t="str">
        <x:v>Jan-Apr total</x:v>
      </x:c>
      <x:c r="B5" s="10" t="str">
        <x:v>Detail total vs printed total</x:v>
      </x:c>
      <x:c r="C5" s="19" t="n">
        <x:f>'Summary'!E6</x:f>
        <x:v>1800</x:v>
      </x:c>
      <x:c r="D5" s="10" t="str">
        <x:v>High</x:v>
      </x:c>
      <x:c r="E5" s="10" t="str">
        <x:v>Use detail total only after March correction is confirmed.</x:v>
      </x:c>
      <x:c r="F5" s="10" t="str">
        <x:f>IF(C5=0,"OK","Open")</x:f>
        <x:v>Open</x:v>
      </x:c>
    </x:row>
    <x:row r="6" ht="15" hidden="0" customHeight="1">
      <x:c r="A6" s="10" t="str">
        <x:v>May-Dec coverage</x:v>
      </x:c>
      <x:c r="B6" s="10" t="str">
        <x:v>Generator detail blank; printed totals zero</x:v>
      </x:c>
      <x:c r="C6" s="10" t="str">
        <x:v>No monthly data after April</x:v>
      </x:c>
      <x:c r="D6" s="10" t="str">
        <x:v>Medium</x:v>
      </x:c>
      <x:c r="E6" s="10" t="str">
        <x:v>Update workbook when later months are available.</x:v>
      </x:c>
      <x:c r="F6" s="10" t="str">
        <x:v>Open</x:v>
      </x:c>
    </x:row>
    <x:row r="7" ht="15" hidden="0" customHeight="1">
      <x:c r="A7" s="10" t="str">
        <x:v>Unit confirmation</x:v>
      </x:c>
      <x:c r="B7" s="10" t="str">
        <x:v>Diesel usage unit inferred as liters</x:v>
      </x:c>
      <x:c r="C7" s="10" t="str">
        <x:v>Assumed L</x:v>
      </x:c>
      <x:c r="D7" s="10" t="str">
        <x:v>Medium</x:v>
      </x:c>
      <x:c r="E7" s="10" t="str">
        <x:v>Confirm unit with source owner.</x:v>
      </x:c>
      <x:c r="F7" s="10" t="str">
        <x:v>Open</x:v>
      </x:c>
    </x:row>
    <x:row r="8" ht="15" hidden="0" customHeight="1">
      <x:c r="A8" s="10" t="str">
        <x:v>Handwritten schedule clarity</x:v>
      </x:c>
      <x:c r="B8" s="10" t="str">
        <x:v>Several handwritten time ranges are ambiguous</x:v>
      </x:c>
      <x:c r="C8" s="10" t="str">
        <x:v>Needs confirmation</x:v>
      </x:c>
      <x:c r="D8" s="10" t="str">
        <x:v>Medium</x:v>
      </x:c>
      <x:c r="E8" s="10" t="str">
        <x:v>Confirm exact shift/switchover schedule.</x:v>
      </x:c>
      <x:c r="F8" s="10" t="str">
        <x:v>Open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D4:D8">
    <x:cfRule type="containsText" dxfId="2" priority="1" operator="containsText" text="High"/>
  </x:conditionalFormatting>
  <x:conditionalFormatting sqref="F4:F8">
    <x:cfRule type="containsText" dxfId="3" priority="2" operator="containsText" text="Open"/>
  </x:conditionalFormatting>
  <x:pageMargins left="0.7" right="0.7" top="0.75" bottom="0.75" header="0.3" footer="0.3"/>
</x:worksheet>
</file>